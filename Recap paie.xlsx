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JOEL FABRICE\"/>
    </mc:Choice>
  </mc:AlternateContent>
  <xr:revisionPtr revIDLastSave="0" documentId="8_{14AF8ED9-12A6-4DD0-94A7-6E1D5DABA4A7}" xr6:coauthVersionLast="47" xr6:coauthVersionMax="47" xr10:uidLastSave="{00000000-0000-0000-0000-000000000000}"/>
  <bookViews>
    <workbookView xWindow="-98" yWindow="-98" windowWidth="21795" windowHeight="12975" xr2:uid="{99835E22-22A5-4789-AD2E-03AF018A64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T3" i="1" s="1"/>
  <c r="N4" i="1"/>
  <c r="T4" i="1" s="1"/>
  <c r="N5" i="1"/>
  <c r="T5" i="1" s="1"/>
  <c r="N2" i="1"/>
  <c r="T2" i="1" s="1"/>
  <c r="P4" i="1" l="1"/>
  <c r="P3" i="1"/>
  <c r="AI3" i="1" s="1"/>
  <c r="X2" i="1"/>
  <c r="Z2" i="1" s="1"/>
  <c r="P2" i="1" l="1"/>
  <c r="AI2" i="1" s="1"/>
  <c r="AG3" i="1"/>
  <c r="AJ3" i="1"/>
  <c r="AA3" i="1"/>
  <c r="AF3" i="1"/>
  <c r="AF4" i="1"/>
  <c r="Z5" i="1"/>
  <c r="AG4" i="1"/>
  <c r="X3" i="1"/>
  <c r="Z3" i="1" s="1"/>
  <c r="AI4" i="1"/>
  <c r="AJ4" i="1"/>
  <c r="P5" i="1"/>
  <c r="X4" i="1"/>
  <c r="Z4" i="1" s="1"/>
  <c r="AA4" i="1"/>
  <c r="Q4" i="1" s="1"/>
  <c r="AB4" i="1" s="1"/>
  <c r="AA2" i="1" l="1"/>
  <c r="Q2" i="1" s="1"/>
  <c r="AB2" i="1" s="1"/>
  <c r="AC2" i="1" s="1"/>
  <c r="AD2" i="1" s="1"/>
  <c r="AJ2" i="1"/>
  <c r="AF2" i="1"/>
  <c r="AG2" i="1"/>
  <c r="AH3" i="1"/>
  <c r="Q3" i="1"/>
  <c r="AB3" i="1" s="1"/>
  <c r="AC3" i="1" s="1"/>
  <c r="AD3" i="1" s="1"/>
  <c r="AK3" i="1"/>
  <c r="AK4" i="1"/>
  <c r="AE5" i="1"/>
  <c r="AA5" i="1"/>
  <c r="Q5" i="1" s="1"/>
  <c r="AB5" i="1" s="1"/>
  <c r="AJ5" i="1"/>
  <c r="AI5" i="1"/>
  <c r="AG5" i="1"/>
  <c r="AF5" i="1"/>
  <c r="AH4" i="1"/>
  <c r="AC4" i="1"/>
  <c r="AD4" i="1" s="1"/>
  <c r="AH2" i="1" l="1"/>
  <c r="AK2" i="1"/>
  <c r="AK5" i="1"/>
  <c r="AC5" i="1"/>
  <c r="AD5" i="1" s="1"/>
  <c r="AH5" i="1"/>
</calcChain>
</file>

<file path=xl/sharedStrings.xml><?xml version="1.0" encoding="utf-8"?>
<sst xmlns="http://schemas.openxmlformats.org/spreadsheetml/2006/main" count="49" uniqueCount="43">
  <si>
    <t>MATR.</t>
  </si>
  <si>
    <t>DIRECTION</t>
  </si>
  <si>
    <t>DEPART.</t>
  </si>
  <si>
    <t>NOM &amp; POSTNOM</t>
  </si>
  <si>
    <t>FONCTION</t>
  </si>
  <si>
    <t>SITAF</t>
  </si>
  <si>
    <t>CHARGE FISCALE</t>
  </si>
  <si>
    <t>CATLEG</t>
  </si>
  <si>
    <t>CATPROF</t>
  </si>
  <si>
    <t>NUM CNSS</t>
  </si>
  <si>
    <t>MOIS</t>
  </si>
  <si>
    <t>ANNEE</t>
  </si>
  <si>
    <t>DATE ENG</t>
  </si>
  <si>
    <t>Jour presté</t>
  </si>
  <si>
    <t>PLAF CNSS</t>
  </si>
  <si>
    <t>IMPOSABLE</t>
  </si>
  <si>
    <t>SALAIRE</t>
  </si>
  <si>
    <t>SURSALAIRE</t>
  </si>
  <si>
    <t>ANCIENNETE</t>
  </si>
  <si>
    <t>IK</t>
  </si>
  <si>
    <t>Mobilité</t>
  </si>
  <si>
    <t>Mesure d'accompagnement</t>
  </si>
  <si>
    <t>LOG</t>
  </si>
  <si>
    <t>TRANS</t>
  </si>
  <si>
    <t>MASSE SALARIALE</t>
  </si>
  <si>
    <t>CNSS</t>
  </si>
  <si>
    <t>IMPOTS</t>
  </si>
  <si>
    <t>TOT RETENU</t>
  </si>
  <si>
    <t>NET A PAYER</t>
  </si>
  <si>
    <t>IER</t>
  </si>
  <si>
    <t>CNSS 6.5%</t>
  </si>
  <si>
    <t>CNSS 5% ET CNSS 1.5%</t>
  </si>
  <si>
    <t>TOT CNSS</t>
  </si>
  <si>
    <t>INPP</t>
  </si>
  <si>
    <t>ONEM</t>
  </si>
  <si>
    <t>BRUT EMPLOYEUR</t>
  </si>
  <si>
    <t>14.M4.D</t>
  </si>
  <si>
    <t>18.CD1.F</t>
  </si>
  <si>
    <t>15.CC1.DBIS</t>
  </si>
  <si>
    <t>21.CD2.F</t>
  </si>
  <si>
    <t>XXXXXXXXXXX</t>
  </si>
  <si>
    <t>SALAIRE ANCIENNETE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</si>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</sst>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0"/>
    <numFmt numFmtId="165" formatCode="[$-40C]d\-mmm;@"/>
    <numFmt numFmtId="166" formatCode="##0.00"/>
    <numFmt numFmtId="167" formatCode="[$-40C]d\-mmm\-yy;@"/>
  </numFmts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Glacial Indifference"/>
      <family val="3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67" fontId="3" fillId="0" borderId="1" xfId="1" applyNumberFormat="1" applyFont="1" applyBorder="1" applyAlignment="1">
      <alignment horizontal="right" vertical="center"/>
    </xf>
    <xf numFmtId="166" fontId="3" fillId="0" borderId="1" xfId="1" applyNumberFormat="1" applyFont="1" applyBorder="1" applyAlignment="1">
      <alignment horizontal="right" vertical="center"/>
    </xf>
    <xf numFmtId="4" fontId="3" fillId="0" borderId="1" xfId="1" applyNumberFormat="1" applyFont="1" applyBorder="1" applyAlignment="1">
      <alignment horizontal="right" vertical="center"/>
    </xf>
    <xf numFmtId="43" fontId="4" fillId="0" borderId="1" xfId="1" applyNumberFormat="1" applyFont="1" applyBorder="1" applyAlignment="1">
      <alignment vertical="center"/>
    </xf>
    <xf numFmtId="4" fontId="0" fillId="0" borderId="0" xfId="0" applyNumberFormat="1"/>
    <xf numFmtId="0" fontId="3" fillId="0" borderId="1" xfId="1" applyNumberFormat="1" applyFont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6F3A-F98B-46A2-B864-07ED38E64791}">
  <dimension ref="A1:AT5"/>
  <sheetViews>
    <sheetView tabSelected="1" workbookViewId="0">
      <selection activeCell="A4" sqref="A4"/>
    </sheetView>
  </sheetViews>
  <sheetFormatPr baseColWidth="10" defaultRowHeight="14.25"/>
  <cols>
    <col min="1" max="1" width="9.86328125" bestFit="1" customWidth="1"/>
    <col min="2" max="2" width="14.33203125" bestFit="1" customWidth="1"/>
    <col min="3" max="3" width="9" bestFit="1" customWidth="1"/>
    <col min="4" max="4" width="32.53125" bestFit="1" customWidth="1"/>
    <col min="5" max="5" width="10.53125" bestFit="1" customWidth="1"/>
    <col min="6" max="6" width="6.1328125" bestFit="1" customWidth="1"/>
    <col min="7" max="7" width="17.19921875" bestFit="1" customWidth="1"/>
    <col min="8" max="8" width="8.46484375" bestFit="1" customWidth="1"/>
    <col min="9" max="9" width="13.19921875" bestFit="1" customWidth="1"/>
    <col min="10" max="10" width="10.796875" bestFit="1" customWidth="1"/>
    <col min="11" max="11" width="5.53125" bestFit="1" customWidth="1"/>
    <col min="12" max="12" width="7.33203125" bestFit="1" customWidth="1"/>
    <col min="13" max="13" width="13.19921875" bestFit="1" customWidth="1"/>
    <col min="14" max="14" width="13.19921875" customWidth="1"/>
    <col min="15" max="15" width="11.1328125" bestFit="1" customWidth="1"/>
    <col min="16" max="16" width="11.33203125" bestFit="1" customWidth="1"/>
    <col min="17" max="17" width="11.6640625" bestFit="1" customWidth="1"/>
    <col min="18" max="18" width="11" bestFit="1" customWidth="1"/>
    <col min="19" max="19" width="12.6640625" bestFit="1" customWidth="1"/>
    <col min="20" max="20" width="20.796875" customWidth="1"/>
    <col min="21" max="21" width="5.46484375" bestFit="1" customWidth="1"/>
    <col min="22" max="22" width="7.796875" bestFit="1" customWidth="1"/>
    <col min="23" max="23" width="25.1328125" bestFit="1" customWidth="1"/>
    <col min="24" max="24" width="9.86328125" bestFit="1" customWidth="1"/>
    <col min="25" max="25" width="7.6640625" bestFit="1" customWidth="1"/>
    <col min="26" max="26" width="18.1328125" bestFit="1" customWidth="1"/>
    <col min="27" max="27" width="7.6640625" bestFit="1" customWidth="1"/>
    <col min="28" max="28" width="9.46484375" bestFit="1" customWidth="1"/>
    <col min="29" max="29" width="12.796875" bestFit="1" customWidth="1"/>
    <col min="30" max="30" width="13.1328125" bestFit="1" customWidth="1"/>
    <col min="31" max="31" width="9.46484375" bestFit="1" customWidth="1"/>
    <col min="32" max="32" width="11" bestFit="1" customWidth="1"/>
    <col min="33" max="33" width="23.1328125" bestFit="1" customWidth="1"/>
    <col min="34" max="34" width="10.33203125" bestFit="1" customWidth="1"/>
    <col min="35" max="35" width="7.86328125" bestFit="1" customWidth="1"/>
    <col min="36" max="36" width="6.86328125" bestFit="1" customWidth="1"/>
    <col min="37" max="37" width="18.19921875" bestFit="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18</v>
      </c>
      <c r="O1" s="4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41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24</v>
      </c>
      <c r="AA1" s="5" t="s">
        <v>25</v>
      </c>
      <c r="AB1" s="5" t="s">
        <v>26</v>
      </c>
      <c r="AC1" s="5" t="s">
        <v>27</v>
      </c>
      <c r="AD1" s="7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M1" s="8"/>
      <c r="AN1" s="8"/>
      <c r="AO1" s="8"/>
      <c r="AP1" s="8"/>
    </row>
    <row r="2" spans="1:46">
      <c r="A2" s="9" t="s">
        <v>42</v>
      </c>
      <c r="B2" s="9"/>
      <c r="C2" s="9"/>
      <c r="D2" s="9" t="s">
        <v>40</v>
      </c>
      <c r="E2" s="9"/>
      <c r="F2" s="9">
        <v>3</v>
      </c>
      <c r="G2" s="9">
        <v>3</v>
      </c>
      <c r="H2" s="9"/>
      <c r="I2" s="9" t="s">
        <v>36</v>
      </c>
      <c r="J2" s="9"/>
      <c r="K2" s="9">
        <v>7</v>
      </c>
      <c r="L2" s="9">
        <v>2026</v>
      </c>
      <c r="M2" s="10">
        <v>41659</v>
      </c>
      <c r="N2" s="15">
        <f ca="1">DATEDIF(M2,TODAY(),"y")</f>
        <v>12</v>
      </c>
      <c r="O2" s="11">
        <v>26</v>
      </c>
      <c r="P2" s="12">
        <f ca="1">+$R2+$S2+$T2</f>
        <v>1087.8499999999999</v>
      </c>
      <c r="Q2" s="12">
        <f t="shared" ref="Q2:Q5" ca="1" si="0">P2-AA2</f>
        <v>1033.4575</v>
      </c>
      <c r="R2" s="12">
        <v>777.25</v>
      </c>
      <c r="S2" s="12">
        <v>30.79</v>
      </c>
      <c r="T2" s="12">
        <f ca="1">(R2*3%)*N2</f>
        <v>279.81</v>
      </c>
      <c r="U2" s="12">
        <v>0</v>
      </c>
      <c r="V2" s="12">
        <v>0</v>
      </c>
      <c r="W2" s="12">
        <v>0</v>
      </c>
      <c r="X2" s="12">
        <f ca="1">(R2+S2+T2)*30%</f>
        <v>326.35499999999996</v>
      </c>
      <c r="Y2" s="12">
        <v>70.319999999999993</v>
      </c>
      <c r="Z2" s="12">
        <f t="shared" ref="Z2:Z5" ca="1" si="1">R2+S2+T2+X2+Y2</f>
        <v>1484.5249999999999</v>
      </c>
      <c r="AA2" s="12">
        <f t="shared" ref="AA2:AA5" ca="1" si="2">P2*5%</f>
        <v>54.392499999999998</v>
      </c>
      <c r="AB2" s="13">
        <f ca="1">(IF(($Q2*2658.7148)&lt;=162000,($Q2*2658.7148)*3%,IF(($Q2*2658.7148)&lt;=1800000,(4860+(($Q2*2658.7148)-162000)*15%),IF(($Q2*2658.7148)&lt;=3600000,(250560+(($Q2*2658.7148)-1800000)*30%),IF(($Q2*2658.7148)&lt;6543000,(790560+((($Q2*2658.7148)-3600000)*40%)),(($Q2*2658.7148)*30%)))))*(1-2%*$G2))/2658.7148</f>
        <v>189.10226385271636</v>
      </c>
      <c r="AC2" s="12">
        <f t="shared" ref="AC2:AC5" ca="1" si="3">+AA2+AB2</f>
        <v>243.49476385271635</v>
      </c>
      <c r="AD2" s="12">
        <f t="shared" ref="AD2:AD5" ca="1" si="4">Z2-AC2</f>
        <v>1241.0302361472836</v>
      </c>
      <c r="AE2" s="12">
        <v>0</v>
      </c>
      <c r="AF2" s="13">
        <f ca="1">$P2*6.5%</f>
        <v>70.710250000000002</v>
      </c>
      <c r="AG2" s="13">
        <f ca="1">$P2*6.5%</f>
        <v>70.710250000000002</v>
      </c>
      <c r="AH2" s="12">
        <f t="shared" ref="AH2:AH5" ca="1" si="5">+AA2+AF2+AG2</f>
        <v>195.81299999999999</v>
      </c>
      <c r="AI2" s="13">
        <f ca="1">$P2*3%</f>
        <v>32.635499999999993</v>
      </c>
      <c r="AJ2" s="13">
        <f ca="1">$P2*0.2%</f>
        <v>2.1757</v>
      </c>
      <c r="AK2" s="12">
        <f t="shared" ref="AK2:AK5" ca="1" si="6">Z2+AE2+AF2+AG2+AI2+AJ2</f>
        <v>1660.7567000000001</v>
      </c>
      <c r="AO2" s="14"/>
      <c r="AQ2" s="14"/>
      <c r="AR2" s="14"/>
      <c r="AS2" s="14"/>
      <c r="AT2" s="14"/>
    </row>
    <row r="3" spans="1:46">
      <c r="A3" s="9" t="s">
        <v>42</v>
      </c>
      <c r="B3" s="9"/>
      <c r="C3" s="9"/>
      <c r="D3" s="9" t="s">
        <v>40</v>
      </c>
      <c r="E3" s="9"/>
      <c r="F3" s="9">
        <v>3</v>
      </c>
      <c r="G3" s="9">
        <v>4</v>
      </c>
      <c r="H3" s="9"/>
      <c r="I3" s="9" t="s">
        <v>37</v>
      </c>
      <c r="J3" s="9"/>
      <c r="K3" s="9">
        <v>7</v>
      </c>
      <c r="L3" s="9">
        <v>2026</v>
      </c>
      <c r="M3" s="10">
        <v>41253</v>
      </c>
      <c r="N3" s="15">
        <f t="shared" ref="N3:N5" ca="1" si="7">DATEDIF(M3,TODAY(),"y")</f>
        <v>13</v>
      </c>
      <c r="O3" s="11">
        <v>26</v>
      </c>
      <c r="P3" s="12">
        <f ca="1">+$R3+$S3+$T3</f>
        <v>4716.1039999999994</v>
      </c>
      <c r="Q3" s="12">
        <f t="shared" ca="1" si="0"/>
        <v>4480.2987999999996</v>
      </c>
      <c r="R3" s="12">
        <v>1761.6</v>
      </c>
      <c r="S3" s="12">
        <v>2267.48</v>
      </c>
      <c r="T3" s="12">
        <f t="shared" ref="T3:T5" ca="1" si="8">(R3*3%)*N3</f>
        <v>687.02399999999989</v>
      </c>
      <c r="U3" s="12">
        <v>0</v>
      </c>
      <c r="V3" s="12">
        <v>0</v>
      </c>
      <c r="W3" s="12">
        <v>0</v>
      </c>
      <c r="X3" s="12">
        <f t="shared" ref="X3:X4" ca="1" si="9">(R3+S3+T3)*30%</f>
        <v>1414.8311999999999</v>
      </c>
      <c r="Y3" s="12">
        <v>84.32</v>
      </c>
      <c r="Z3" s="12">
        <f t="shared" ca="1" si="1"/>
        <v>6215.2551999999987</v>
      </c>
      <c r="AA3" s="12">
        <f t="shared" ca="1" si="2"/>
        <v>235.80519999999999</v>
      </c>
      <c r="AB3" s="13">
        <f ca="1">(IF(($Q3*2658.7148)&lt;=162000,($Q3*2658.7148)*3%,IF(($Q3*2658.7148)&lt;=1800000,(4860+(($Q3*2658.7148)-162000)*15%),IF(($Q3*2658.7148)&lt;=3600000,(250560+(($Q3*2658.7148)-1800000)*30%),IF(($Q3*2658.7148)&lt;6543000,(790560+((($Q3*2658.7148)-3600000)*40%)),(($Q3*2658.7148)*30%)))))*(1-2%*$G3))/2658.7148</f>
        <v>1236.5624688</v>
      </c>
      <c r="AC3" s="12">
        <f t="shared" ca="1" si="3"/>
        <v>1472.3676688</v>
      </c>
      <c r="AD3" s="12">
        <f t="shared" ca="1" si="4"/>
        <v>4742.8875311999982</v>
      </c>
      <c r="AE3" s="12">
        <v>0</v>
      </c>
      <c r="AF3" s="13">
        <f ca="1">$P3*6.5%</f>
        <v>306.54675999999995</v>
      </c>
      <c r="AG3" s="13">
        <f ca="1">$P3*6.5%</f>
        <v>306.54675999999995</v>
      </c>
      <c r="AH3" s="12">
        <f t="shared" ca="1" si="5"/>
        <v>848.89871999999991</v>
      </c>
      <c r="AI3" s="13">
        <f ca="1">$P3*3%</f>
        <v>141.48311999999999</v>
      </c>
      <c r="AJ3" s="13">
        <f ca="1">$P3*0.2%</f>
        <v>9.4322079999999993</v>
      </c>
      <c r="AK3" s="12">
        <f t="shared" ca="1" si="6"/>
        <v>6979.2640479999991</v>
      </c>
      <c r="AO3" s="14"/>
      <c r="AQ3" s="14"/>
      <c r="AR3" s="14"/>
      <c r="AS3" s="14"/>
      <c r="AT3" s="14"/>
    </row>
    <row r="4" spans="1:46">
      <c r="A4" s="9" t="s">
        <v>42</v>
      </c>
      <c r="B4" s="9"/>
      <c r="C4" s="9"/>
      <c r="D4" s="9" t="s">
        <v>40</v>
      </c>
      <c r="E4" s="9"/>
      <c r="F4" s="9">
        <v>4</v>
      </c>
      <c r="G4" s="9">
        <v>5</v>
      </c>
      <c r="H4" s="9"/>
      <c r="I4" s="9" t="s">
        <v>38</v>
      </c>
      <c r="J4" s="9"/>
      <c r="K4" s="9">
        <v>7</v>
      </c>
      <c r="L4" s="9">
        <v>2026</v>
      </c>
      <c r="M4" s="10">
        <v>42186</v>
      </c>
      <c r="N4" s="15">
        <f t="shared" ca="1" si="7"/>
        <v>11</v>
      </c>
      <c r="O4" s="11">
        <v>26</v>
      </c>
      <c r="P4" s="12">
        <f ca="1">+$R4+$S4+$T4</f>
        <v>1190.4747</v>
      </c>
      <c r="Q4" s="12">
        <f t="shared" ca="1" si="0"/>
        <v>1130.950965</v>
      </c>
      <c r="R4" s="12">
        <v>880.59</v>
      </c>
      <c r="S4" s="12">
        <v>19.29</v>
      </c>
      <c r="T4" s="12">
        <f t="shared" ca="1" si="8"/>
        <v>290.59469999999999</v>
      </c>
      <c r="U4" s="12">
        <v>0</v>
      </c>
      <c r="V4" s="12">
        <v>0</v>
      </c>
      <c r="W4" s="12">
        <v>0</v>
      </c>
      <c r="X4" s="12">
        <f t="shared" ca="1" si="9"/>
        <v>357.14240999999998</v>
      </c>
      <c r="Y4" s="12">
        <v>84.32</v>
      </c>
      <c r="Z4" s="12">
        <f t="shared" ca="1" si="1"/>
        <v>1631.9371099999998</v>
      </c>
      <c r="AA4" s="12">
        <f t="shared" ca="1" si="2"/>
        <v>59.523735000000002</v>
      </c>
      <c r="AB4" s="13">
        <f ca="1">(IF(($Q4*2658.7148)&lt;=162000,($Q4*2658.7148)*3%,IF(($Q4*2658.7148)&lt;=1800000,(4860+(($Q4*2658.7148)-162000)*15%),IF(($Q4*2658.7148)&lt;=3600000,(250560+(($Q4*2658.7148)-1800000)*30%),IF(($Q4*2658.7148)&lt;6543000,(790560+((($Q4*2658.7148)-3600000)*40%)),(($Q4*2658.7148)*30%)))))*(1-2%*$G4))/2658.7148</f>
        <v>207.37859455791991</v>
      </c>
      <c r="AC4" s="12">
        <f t="shared" ca="1" si="3"/>
        <v>266.90232955791993</v>
      </c>
      <c r="AD4" s="12">
        <f t="shared" ca="1" si="4"/>
        <v>1365.0347804420799</v>
      </c>
      <c r="AE4" s="12">
        <v>0</v>
      </c>
      <c r="AF4" s="13">
        <f ca="1">$P4*6.5%</f>
        <v>77.380855499999996</v>
      </c>
      <c r="AG4" s="13">
        <f ca="1">$P4*6.5%</f>
        <v>77.380855499999996</v>
      </c>
      <c r="AH4" s="12">
        <f t="shared" ca="1" si="5"/>
        <v>214.28544599999998</v>
      </c>
      <c r="AI4" s="13">
        <f ca="1">$P4*3%</f>
        <v>35.714241000000001</v>
      </c>
      <c r="AJ4" s="13">
        <f ca="1">$P4*0.2%</f>
        <v>2.3809494</v>
      </c>
      <c r="AK4" s="12">
        <f t="shared" ca="1" si="6"/>
        <v>1824.7940113999998</v>
      </c>
      <c r="AO4" s="14"/>
      <c r="AQ4" s="14"/>
      <c r="AR4" s="14"/>
      <c r="AS4" s="14"/>
      <c r="AT4" s="14"/>
    </row>
    <row r="5" spans="1:46">
      <c r="A5" s="9" t="s">
        <v>42</v>
      </c>
      <c r="B5" s="9"/>
      <c r="C5" s="9"/>
      <c r="D5" s="9" t="s">
        <v>40</v>
      </c>
      <c r="E5" s="9"/>
      <c r="F5" s="9">
        <v>0</v>
      </c>
      <c r="G5" s="9">
        <v>0</v>
      </c>
      <c r="H5" s="9"/>
      <c r="I5" s="9" t="s">
        <v>39</v>
      </c>
      <c r="J5" s="9"/>
      <c r="K5" s="9">
        <v>7</v>
      </c>
      <c r="L5" s="9">
        <v>2026</v>
      </c>
      <c r="M5" s="10">
        <v>46085</v>
      </c>
      <c r="N5" s="15">
        <f t="shared" ca="1" si="7"/>
        <v>0</v>
      </c>
      <c r="O5" s="11">
        <v>26</v>
      </c>
      <c r="P5" s="12">
        <f ca="1">+$R5+$S5+$T5</f>
        <v>9774.44</v>
      </c>
      <c r="Q5" s="12">
        <f t="shared" ca="1" si="0"/>
        <v>9285.7180000000008</v>
      </c>
      <c r="R5" s="12">
        <v>5396.55</v>
      </c>
      <c r="S5" s="12">
        <v>4377.8900000000003</v>
      </c>
      <c r="T5" s="12">
        <f t="shared" ca="1" si="8"/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f t="shared" ca="1" si="1"/>
        <v>9774.44</v>
      </c>
      <c r="AA5" s="12">
        <f t="shared" ca="1" si="2"/>
        <v>488.72200000000004</v>
      </c>
      <c r="AB5" s="13">
        <f ca="1">(IF(($Q5*2658.7148)&lt;=162000,($Q5*2658.7148)*3%,IF(($Q5*2658.7148)&lt;=1800000,(4860+(($Q5*2658.7148)-162000)*15%),IF(($Q5*2658.7148)&lt;=3600000,(250560+(($Q5*2658.7148)-1800000)*30%),IF(($Q5*2658.7148)&lt;6543000,(790560+((($Q5*2658.7148)-3600000)*40%)),(($Q5*2658.7148)*30%)))))*(1-2%*$G5))/2658.7148</f>
        <v>2785.7154000000005</v>
      </c>
      <c r="AC5" s="12">
        <f t="shared" ca="1" si="3"/>
        <v>3274.4374000000007</v>
      </c>
      <c r="AD5" s="12">
        <f t="shared" ca="1" si="4"/>
        <v>6500.0025999999998</v>
      </c>
      <c r="AE5" s="13">
        <f t="shared" ref="AE5" ca="1" si="10">$P5*25%</f>
        <v>2443.61</v>
      </c>
      <c r="AF5" s="13">
        <f ca="1">$P5*6.5%</f>
        <v>635.33860000000004</v>
      </c>
      <c r="AG5" s="13">
        <f ca="1">$P5*6.5%</f>
        <v>635.33860000000004</v>
      </c>
      <c r="AH5" s="12">
        <f t="shared" ca="1" si="5"/>
        <v>1759.3992000000001</v>
      </c>
      <c r="AI5" s="13">
        <f ca="1">$P5*3%</f>
        <v>293.23320000000001</v>
      </c>
      <c r="AJ5" s="13">
        <f ca="1">$P5*0.2%</f>
        <v>19.54888</v>
      </c>
      <c r="AK5" s="12">
        <f t="shared" ca="1" si="6"/>
        <v>13801.509280000002</v>
      </c>
      <c r="AO5" s="14"/>
      <c r="AQ5" s="14"/>
      <c r="AR5" s="14"/>
      <c r="AS5" s="14"/>
      <c r="AT5" s="14"/>
    </row>
  </sheetData>
  <pageMargins left="0.7" right="0.7" top="0.75" bottom="0.75" header="0.3" footer="0.3"/>
  <pageSetup orientation="portrait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MUKENDI Joel Fabrice Ext O-CD/DRH</dc:creator>
  <cp:lastModifiedBy>MUKENDI Joel Fabrice Ext O-CD/DRH</cp:lastModifiedBy>
  <dcterms:created xsi:type="dcterms:W3CDTF">2026-07-15T17:39:15Z</dcterms:created>
  <dcterms:modified xsi:type="dcterms:W3CDTF">2026-07-15T17:51:52Z</dcterms:modified>
</cp:coreProperties>
</file>